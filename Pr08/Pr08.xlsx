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чм\"/>
    </mc:Choice>
  </mc:AlternateContent>
  <xr:revisionPtr revIDLastSave="0" documentId="8_{06AD908D-4690-486D-90F7-9F92C7FB165A}" xr6:coauthVersionLast="45" xr6:coauthVersionMax="45" xr10:uidLastSave="{00000000-0000-0000-0000-000000000000}"/>
  <bookViews>
    <workbookView xWindow="2556" yWindow="-108" windowWidth="17280" windowHeight="8880" activeTab="1" xr2:uid="{94BD1E50-6E53-4A66-9292-69A5F33FBA9C}"/>
  </bookViews>
  <sheets>
    <sheet name="Диаграмма1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6" i="1" l="1"/>
  <c r="B39" i="1" l="1"/>
  <c r="C39" i="1"/>
  <c r="D39" i="1"/>
  <c r="E39" i="1"/>
  <c r="F39" i="1"/>
  <c r="G39" i="1"/>
  <c r="A39" i="1"/>
  <c r="D27" i="1" l="1"/>
  <c r="D22" i="1"/>
  <c r="B11" i="1"/>
  <c r="B10" i="1"/>
  <c r="B9" i="1"/>
  <c r="B8" i="1"/>
  <c r="B7" i="1"/>
  <c r="B6" i="1"/>
  <c r="A11" i="1"/>
  <c r="C11" i="1" s="1"/>
  <c r="D11" i="1" s="1"/>
  <c r="E11" i="1" s="1"/>
  <c r="A10" i="1"/>
  <c r="C10" i="1" s="1"/>
  <c r="A9" i="1"/>
  <c r="A8" i="1"/>
  <c r="C8" i="1" s="1"/>
  <c r="A7" i="1"/>
  <c r="C7" i="1" s="1"/>
  <c r="A6" i="1"/>
  <c r="C6" i="1" s="1"/>
  <c r="F11" i="1" l="1"/>
  <c r="G8" i="1"/>
  <c r="D8" i="1"/>
  <c r="E8" i="1" s="1"/>
  <c r="A12" i="1"/>
  <c r="D16" i="1" s="1"/>
  <c r="D26" i="1" s="1"/>
  <c r="B12" i="1"/>
  <c r="B22" i="1" s="1"/>
  <c r="C27" i="1" s="1"/>
  <c r="F8" i="1"/>
  <c r="F6" i="1"/>
  <c r="G11" i="1"/>
  <c r="D10" i="1"/>
  <c r="E10" i="1" s="1"/>
  <c r="G10" i="1"/>
  <c r="F10" i="1"/>
  <c r="C9" i="1"/>
  <c r="C12" i="1" s="1"/>
  <c r="D15" i="1" s="1"/>
  <c r="F9" i="1"/>
  <c r="G7" i="1"/>
  <c r="D7" i="1"/>
  <c r="E7" i="1" s="1"/>
  <c r="F7" i="1"/>
  <c r="D6" i="1"/>
  <c r="G6" i="1"/>
  <c r="D21" i="1" l="1"/>
  <c r="C17" i="1"/>
  <c r="C32" i="1" s="1"/>
  <c r="D32" i="1"/>
  <c r="F12" i="1"/>
  <c r="B21" i="1" s="1"/>
  <c r="C26" i="1" s="1"/>
  <c r="C16" i="1"/>
  <c r="C31" i="1" s="1"/>
  <c r="D9" i="1"/>
  <c r="E9" i="1" s="1"/>
  <c r="G9" i="1"/>
  <c r="G12" i="1" s="1"/>
  <c r="B20" i="1" s="1"/>
  <c r="B17" i="1"/>
  <c r="B27" i="1" s="1"/>
  <c r="E6" i="1"/>
  <c r="D20" i="1"/>
  <c r="D25" i="1"/>
  <c r="D12" i="1" l="1"/>
  <c r="B16" i="1" s="1"/>
  <c r="C21" i="1"/>
  <c r="C22" i="1"/>
  <c r="D31" i="1"/>
  <c r="C25" i="1"/>
  <c r="D30" i="1"/>
  <c r="B32" i="1"/>
  <c r="E12" i="1"/>
  <c r="B15" i="1" s="1"/>
  <c r="B25" i="1" s="1"/>
  <c r="C15" i="1" l="1"/>
  <c r="F16" i="1" s="1"/>
  <c r="B30" i="1"/>
  <c r="B26" i="1"/>
  <c r="B31" i="1"/>
  <c r="I26" i="1" l="1"/>
  <c r="C20" i="1"/>
  <c r="F21" i="1" s="1"/>
  <c r="I21" i="1" s="1"/>
  <c r="C30" i="1"/>
  <c r="F31" i="1" s="1"/>
  <c r="I31" i="1" s="1"/>
  <c r="D40" i="1" l="1"/>
  <c r="C44" i="1" s="1"/>
  <c r="G40" i="1"/>
  <c r="F44" i="1" s="1"/>
  <c r="C40" i="1"/>
  <c r="B44" i="1" s="1"/>
  <c r="E40" i="1"/>
  <c r="D44" i="1" s="1"/>
  <c r="B40" i="1"/>
  <c r="A44" i="1" s="1"/>
  <c r="F40" i="1"/>
  <c r="E44" i="1" s="1"/>
  <c r="B46" i="1" l="1"/>
</calcChain>
</file>

<file path=xl/sharedStrings.xml><?xml version="1.0" encoding="utf-8"?>
<sst xmlns="http://schemas.openxmlformats.org/spreadsheetml/2006/main" count="32" uniqueCount="26">
  <si>
    <t>x</t>
  </si>
  <si>
    <t>y</t>
  </si>
  <si>
    <t>xy</t>
  </si>
  <si>
    <t>=</t>
  </si>
  <si>
    <t xml:space="preserve">Δ = </t>
  </si>
  <si>
    <t xml:space="preserve">Δа = </t>
  </si>
  <si>
    <t xml:space="preserve">Δb = </t>
  </si>
  <si>
    <t xml:space="preserve">Δc = </t>
  </si>
  <si>
    <t>n = 6</t>
  </si>
  <si>
    <r>
      <t>x</t>
    </r>
    <r>
      <rPr>
        <vertAlign val="superscript"/>
        <sz val="12"/>
        <color theme="1"/>
        <rFont val="Yandex Sans Text Light"/>
        <charset val="204"/>
      </rPr>
      <t>2</t>
    </r>
  </si>
  <si>
    <r>
      <t>x</t>
    </r>
    <r>
      <rPr>
        <vertAlign val="superscript"/>
        <sz val="12"/>
        <color theme="1"/>
        <rFont val="Yandex Sans Text Light"/>
        <charset val="204"/>
      </rPr>
      <t>3</t>
    </r>
  </si>
  <si>
    <r>
      <t>x</t>
    </r>
    <r>
      <rPr>
        <vertAlign val="superscript"/>
        <sz val="12"/>
        <color theme="1"/>
        <rFont val="Yandex Sans Text Light"/>
        <charset val="204"/>
      </rPr>
      <t>4</t>
    </r>
  </si>
  <si>
    <r>
      <t>x</t>
    </r>
    <r>
      <rPr>
        <vertAlign val="superscript"/>
        <sz val="12"/>
        <color theme="1"/>
        <rFont val="Yandex Sans Text Light"/>
        <charset val="204"/>
      </rPr>
      <t>2</t>
    </r>
    <r>
      <rPr>
        <sz val="12"/>
        <color theme="1"/>
        <rFont val="Yandex Sans Text Light"/>
        <charset val="204"/>
      </rPr>
      <t>y</t>
    </r>
  </si>
  <si>
    <t xml:space="preserve">a=Δа/Δ= </t>
  </si>
  <si>
    <t>b=Δb/Δ=</t>
  </si>
  <si>
    <t>c=Δc/Δ=</t>
  </si>
  <si>
    <r>
      <t>y = ax</t>
    </r>
    <r>
      <rPr>
        <vertAlign val="superscript"/>
        <sz val="8"/>
        <color theme="1"/>
        <rFont val="Yandex Sans Text Light"/>
        <charset val="204"/>
      </rPr>
      <t>2</t>
    </r>
    <r>
      <rPr>
        <sz val="12"/>
        <color theme="1"/>
        <rFont val="Yandex Sans Text Light"/>
        <charset val="204"/>
      </rPr>
      <t xml:space="preserve"> + bx + c</t>
    </r>
  </si>
  <si>
    <t>u1</t>
  </si>
  <si>
    <t>u2</t>
  </si>
  <si>
    <t>u3</t>
  </si>
  <si>
    <t>u4</t>
  </si>
  <si>
    <t>u5</t>
  </si>
  <si>
    <t>u6</t>
  </si>
  <si>
    <t xml:space="preserve">p = </t>
  </si>
  <si>
    <t>ui = p(xi) - yi</t>
  </si>
  <si>
    <r>
      <t>y =  2,037 x</t>
    </r>
    <r>
      <rPr>
        <vertAlign val="superscript"/>
        <sz val="8"/>
        <color theme="1"/>
        <rFont val="Yandex Sans Text Light"/>
        <charset val="204"/>
      </rPr>
      <t>2</t>
    </r>
    <r>
      <rPr>
        <sz val="12"/>
        <color theme="1"/>
        <rFont val="Yandex Sans Text Light"/>
        <charset val="204"/>
      </rPr>
      <t xml:space="preserve"> - 3,573 x + 1,946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</si>
</sst>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Yandex Sans Text Light"/>
      <charset val="204"/>
    </font>
    <font>
      <sz val="11"/>
      <color theme="1"/>
      <name val="Yandex Sans Text Light"/>
      <charset val="204"/>
    </font>
    <font>
      <vertAlign val="superscript"/>
      <sz val="12"/>
      <color theme="1"/>
      <name val="Yandex Sans Text Light"/>
      <charset val="204"/>
    </font>
    <font>
      <vertAlign val="superscript"/>
      <sz val="8"/>
      <color theme="1"/>
      <name val="Yandex Sans Text Light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0" xfId="0" applyFont="1"/>
    <xf numFmtId="164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2" fillId="0" borderId="0" xfId="0" applyFont="1" applyBorder="1"/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Графики координат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8725848800021092E-2"/>
          <c:y val="7.4945844521511693E-2"/>
          <c:w val="0.8966272965879265"/>
          <c:h val="0.79982975352811692"/>
        </c:manualLayout>
      </c:layout>
      <c:lineChart>
        <c:grouping val="standard"/>
        <c:varyColors val="0"/>
        <c:ser>
          <c:idx val="0"/>
          <c:order val="0"/>
          <c:tx>
            <c:v>Данные координаты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Лист1!$B$1:$G$1</c:f>
              <c:numCache>
                <c:formatCode>General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0.8</c:v>
                </c:pt>
                <c:pt idx="3">
                  <c:v>0.9</c:v>
                </c:pt>
                <c:pt idx="4">
                  <c:v>1.2</c:v>
                </c:pt>
                <c:pt idx="5">
                  <c:v>1.4</c:v>
                </c:pt>
              </c:numCache>
            </c:numRef>
          </c:cat>
          <c:val>
            <c:numRef>
              <c:f>Лист1!$B$2:$G$2</c:f>
              <c:numCache>
                <c:formatCode>General</c:formatCode>
                <c:ptCount val="6"/>
                <c:pt idx="0">
                  <c:v>1.1000000000000001</c:v>
                </c:pt>
                <c:pt idx="1">
                  <c:v>0.6</c:v>
                </c:pt>
                <c:pt idx="2">
                  <c:v>0.4</c:v>
                </c:pt>
                <c:pt idx="3">
                  <c:v>0.38</c:v>
                </c:pt>
                <c:pt idx="4">
                  <c:v>0.65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7-4D39-BFF9-3AECEE09A96A}"/>
            </c:ext>
          </c:extLst>
        </c:ser>
        <c:ser>
          <c:idx val="1"/>
          <c:order val="1"/>
          <c:tx>
            <c:v>Координаты по формуле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Лист1!$B$1:$G$1</c:f>
              <c:numCache>
                <c:formatCode>General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0.8</c:v>
                </c:pt>
                <c:pt idx="3">
                  <c:v>0.9</c:v>
                </c:pt>
                <c:pt idx="4">
                  <c:v>1.2</c:v>
                </c:pt>
                <c:pt idx="5">
                  <c:v>1.4</c:v>
                </c:pt>
              </c:numCache>
            </c:numRef>
          </c:cat>
          <c:val>
            <c:numRef>
              <c:f>Лист1!$B$40:$G$40</c:f>
              <c:numCache>
                <c:formatCode>0.000</c:formatCode>
                <c:ptCount val="6"/>
                <c:pt idx="0">
                  <c:v>1.0577777777777948</c:v>
                </c:pt>
                <c:pt idx="1">
                  <c:v>0.66919590643274929</c:v>
                </c:pt>
                <c:pt idx="2">
                  <c:v>0.39191520467835184</c:v>
                </c:pt>
                <c:pt idx="3">
                  <c:v>0.3809795321637317</c:v>
                </c:pt>
                <c:pt idx="4">
                  <c:v>0.5926461988304077</c:v>
                </c:pt>
                <c:pt idx="5">
                  <c:v>0.93748538011697247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7-4D39-BFF9-3AECEE09A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712192"/>
        <c:axId val="1924814576"/>
      </c:lineChart>
      <c:catAx>
        <c:axId val="192671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814576"/>
        <c:crosses val="autoZero"/>
        <c:auto val="1"/>
        <c:lblAlgn val="ctr"/>
        <c:lblOffset val="100"/>
        <c:noMultiLvlLbl val="0"/>
      </c:catAx>
      <c:valAx>
        <c:axId val="192481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671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2D4F9C-3296-4BFF-B3CF-E1267DBE0C07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4404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2412FF-EE53-4DF9-8EE8-33943EEF16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FCF8-09CB-4E6D-8C92-4E86FC4D2A49}">
  <dimension ref="A1:N46"/>
  <sheetViews>
    <sheetView tabSelected="1" topLeftCell="A10" zoomScale="70" zoomScaleNormal="70" workbookViewId="0">
      <selection activeCell="H37" sqref="H37"/>
    </sheetView>
  </sheetViews>
  <sheetFormatPr defaultRowHeight="14.4" x14ac:dyDescent="0.3"/>
  <cols>
    <col min="1" max="1" width="8.88671875" style="5" customWidth="1"/>
    <col min="2" max="2" width="8.44140625" style="5" customWidth="1"/>
    <col min="3" max="4" width="8.88671875" style="5"/>
    <col min="5" max="5" width="8.6640625" style="5" customWidth="1"/>
    <col min="6" max="16384" width="8.88671875" style="5"/>
  </cols>
  <sheetData>
    <row r="1" spans="1:9" ht="15.6" x14ac:dyDescent="0.3">
      <c r="A1" s="1" t="s">
        <v>0</v>
      </c>
      <c r="B1" s="1">
        <v>0.3</v>
      </c>
      <c r="C1" s="1">
        <v>0.5</v>
      </c>
      <c r="D1" s="1">
        <v>0.8</v>
      </c>
      <c r="E1" s="1">
        <v>0.9</v>
      </c>
      <c r="F1" s="1">
        <v>1.2</v>
      </c>
      <c r="G1" s="2">
        <v>1.4</v>
      </c>
      <c r="H1" s="3"/>
      <c r="I1" s="4"/>
    </row>
    <row r="2" spans="1:9" ht="15.6" x14ac:dyDescent="0.3">
      <c r="A2" s="1" t="s">
        <v>1</v>
      </c>
      <c r="B2" s="1">
        <v>1.1000000000000001</v>
      </c>
      <c r="C2" s="1">
        <v>0.6</v>
      </c>
      <c r="D2" s="1">
        <v>0.4</v>
      </c>
      <c r="E2" s="1">
        <v>0.38</v>
      </c>
      <c r="F2" s="1">
        <v>0.65</v>
      </c>
      <c r="G2" s="2">
        <v>0.9</v>
      </c>
      <c r="H2" s="3"/>
      <c r="I2" s="4"/>
    </row>
    <row r="3" spans="1:9" ht="15.6" x14ac:dyDescent="0.3">
      <c r="A3" s="4"/>
      <c r="B3" s="4"/>
      <c r="C3" s="4"/>
      <c r="D3" s="4"/>
      <c r="E3" s="4"/>
      <c r="F3" s="4"/>
      <c r="G3" s="4"/>
      <c r="H3" s="4"/>
      <c r="I3" s="4"/>
    </row>
    <row r="4" spans="1:9" ht="15.6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7.399999999999999" x14ac:dyDescent="0.3">
      <c r="A5" s="1" t="s">
        <v>0</v>
      </c>
      <c r="B5" s="1" t="s">
        <v>1</v>
      </c>
      <c r="C5" s="1" t="s">
        <v>9</v>
      </c>
      <c r="D5" s="1" t="s">
        <v>10</v>
      </c>
      <c r="E5" s="1" t="s">
        <v>11</v>
      </c>
      <c r="F5" s="1" t="s">
        <v>2</v>
      </c>
      <c r="G5" s="1" t="s">
        <v>12</v>
      </c>
      <c r="H5" s="4"/>
      <c r="I5" s="4"/>
    </row>
    <row r="6" spans="1:9" ht="15.6" x14ac:dyDescent="0.3">
      <c r="A6" s="1">
        <f>B1</f>
        <v>0.3</v>
      </c>
      <c r="B6" s="1">
        <f>B2</f>
        <v>1.1000000000000001</v>
      </c>
      <c r="C6" s="1">
        <f>A6*A6</f>
        <v>0.09</v>
      </c>
      <c r="D6" s="1">
        <f>C6*A6</f>
        <v>2.7E-2</v>
      </c>
      <c r="E6" s="6">
        <f>D6*A6</f>
        <v>8.0999999999999996E-3</v>
      </c>
      <c r="F6" s="6">
        <f>A6*B6</f>
        <v>0.33</v>
      </c>
      <c r="G6" s="6">
        <f>C6*B6</f>
        <v>9.9000000000000005E-2</v>
      </c>
      <c r="H6" s="4"/>
      <c r="I6" s="4"/>
    </row>
    <row r="7" spans="1:9" ht="15.6" x14ac:dyDescent="0.3">
      <c r="A7" s="1">
        <f>C1</f>
        <v>0.5</v>
      </c>
      <c r="B7" s="1">
        <f>C2</f>
        <v>0.6</v>
      </c>
      <c r="C7" s="1">
        <f t="shared" ref="C7:C11" si="0">A7*A7</f>
        <v>0.25</v>
      </c>
      <c r="D7" s="1">
        <f t="shared" ref="D7:D11" si="1">C7*A7</f>
        <v>0.125</v>
      </c>
      <c r="E7" s="6">
        <f t="shared" ref="E7:E11" si="2">D7*A7</f>
        <v>6.25E-2</v>
      </c>
      <c r="F7" s="6">
        <f t="shared" ref="F7:F11" si="3">A7*B7</f>
        <v>0.3</v>
      </c>
      <c r="G7" s="6">
        <f t="shared" ref="G7:G11" si="4">C7*B7</f>
        <v>0.15</v>
      </c>
      <c r="H7" s="4"/>
      <c r="I7" s="7" t="s">
        <v>8</v>
      </c>
    </row>
    <row r="8" spans="1:9" ht="15.6" x14ac:dyDescent="0.3">
      <c r="A8" s="1">
        <f>D1</f>
        <v>0.8</v>
      </c>
      <c r="B8" s="1">
        <f>D2</f>
        <v>0.4</v>
      </c>
      <c r="C8" s="1">
        <f t="shared" si="0"/>
        <v>0.64000000000000012</v>
      </c>
      <c r="D8" s="1">
        <f t="shared" si="1"/>
        <v>0.51200000000000012</v>
      </c>
      <c r="E8" s="6">
        <f t="shared" si="2"/>
        <v>0.40960000000000013</v>
      </c>
      <c r="F8" s="6">
        <f t="shared" si="3"/>
        <v>0.32000000000000006</v>
      </c>
      <c r="G8" s="6">
        <f t="shared" si="4"/>
        <v>0.25600000000000006</v>
      </c>
      <c r="H8" s="4"/>
      <c r="I8" s="4"/>
    </row>
    <row r="9" spans="1:9" ht="15.6" x14ac:dyDescent="0.3">
      <c r="A9" s="1">
        <f>E1</f>
        <v>0.9</v>
      </c>
      <c r="B9" s="1">
        <f>E2</f>
        <v>0.38</v>
      </c>
      <c r="C9" s="1">
        <f t="shared" si="0"/>
        <v>0.81</v>
      </c>
      <c r="D9" s="1">
        <f t="shared" si="1"/>
        <v>0.72900000000000009</v>
      </c>
      <c r="E9" s="6">
        <f t="shared" si="2"/>
        <v>0.65610000000000013</v>
      </c>
      <c r="F9" s="6">
        <f t="shared" si="3"/>
        <v>0.34200000000000003</v>
      </c>
      <c r="G9" s="6">
        <f t="shared" si="4"/>
        <v>0.30780000000000002</v>
      </c>
      <c r="H9" s="4"/>
      <c r="I9" s="4"/>
    </row>
    <row r="10" spans="1:9" ht="15.6" x14ac:dyDescent="0.3">
      <c r="A10" s="1">
        <f>F1</f>
        <v>1.2</v>
      </c>
      <c r="B10" s="1">
        <f>F2</f>
        <v>0.65</v>
      </c>
      <c r="C10" s="1">
        <f t="shared" si="0"/>
        <v>1.44</v>
      </c>
      <c r="D10" s="1">
        <f t="shared" si="1"/>
        <v>1.728</v>
      </c>
      <c r="E10" s="6">
        <f t="shared" si="2"/>
        <v>2.0735999999999999</v>
      </c>
      <c r="F10" s="6">
        <f t="shared" si="3"/>
        <v>0.78</v>
      </c>
      <c r="G10" s="6">
        <f t="shared" si="4"/>
        <v>0.93599999999999994</v>
      </c>
      <c r="H10" s="4"/>
      <c r="I10" s="4"/>
    </row>
    <row r="11" spans="1:9" ht="15.6" x14ac:dyDescent="0.3">
      <c r="A11" s="8">
        <f>G1</f>
        <v>1.4</v>
      </c>
      <c r="B11" s="8">
        <f>G2</f>
        <v>0.9</v>
      </c>
      <c r="C11" s="8">
        <f t="shared" si="0"/>
        <v>1.9599999999999997</v>
      </c>
      <c r="D11" s="8">
        <f t="shared" si="1"/>
        <v>2.7439999999999993</v>
      </c>
      <c r="E11" s="6">
        <f t="shared" si="2"/>
        <v>3.8415999999999988</v>
      </c>
      <c r="F11" s="9">
        <f t="shared" si="3"/>
        <v>1.26</v>
      </c>
      <c r="G11" s="9">
        <f t="shared" si="4"/>
        <v>1.7639999999999998</v>
      </c>
      <c r="H11" s="4"/>
      <c r="I11" s="4"/>
    </row>
    <row r="12" spans="1:9" ht="15.6" x14ac:dyDescent="0.3">
      <c r="A12" s="1">
        <f>SUM(A6:A11)</f>
        <v>5.0999999999999996</v>
      </c>
      <c r="B12" s="1">
        <f t="shared" ref="B12:G12" si="5">SUM(B6:B11)</f>
        <v>4.03</v>
      </c>
      <c r="C12" s="1">
        <f t="shared" si="5"/>
        <v>5.1899999999999995</v>
      </c>
      <c r="D12" s="1">
        <f t="shared" si="5"/>
        <v>5.8650000000000002</v>
      </c>
      <c r="E12" s="28">
        <f t="shared" si="5"/>
        <v>7.051499999999999</v>
      </c>
      <c r="F12" s="6">
        <f t="shared" si="5"/>
        <v>3.3319999999999999</v>
      </c>
      <c r="G12" s="6">
        <f t="shared" si="5"/>
        <v>3.5127999999999999</v>
      </c>
      <c r="H12" s="4"/>
      <c r="I12" s="4"/>
    </row>
    <row r="13" spans="1:9" ht="15.6" x14ac:dyDescent="0.3">
      <c r="A13" s="10"/>
      <c r="B13" s="10"/>
      <c r="C13" s="10"/>
      <c r="D13" s="10"/>
      <c r="E13" s="10"/>
      <c r="F13" s="10"/>
      <c r="G13" s="10"/>
      <c r="H13" s="4"/>
      <c r="I13" s="4"/>
    </row>
    <row r="14" spans="1:9" ht="15.6" x14ac:dyDescent="0.3">
      <c r="A14" s="10"/>
      <c r="B14" s="10"/>
      <c r="C14" s="10"/>
      <c r="D14" s="10"/>
      <c r="E14" s="10"/>
      <c r="F14" s="10"/>
      <c r="G14" s="10"/>
      <c r="H14" s="4"/>
      <c r="I14" s="4"/>
    </row>
    <row r="15" spans="1:9" ht="15.6" x14ac:dyDescent="0.3">
      <c r="A15" s="12"/>
      <c r="B15" s="19">
        <f>E12</f>
        <v>7.051499999999999</v>
      </c>
      <c r="C15" s="19">
        <f>D12</f>
        <v>5.8650000000000002</v>
      </c>
      <c r="D15" s="20">
        <f>C12</f>
        <v>5.1899999999999995</v>
      </c>
      <c r="E15" s="10"/>
      <c r="F15" s="10"/>
      <c r="G15" s="10"/>
      <c r="H15" s="4"/>
      <c r="I15" s="4"/>
    </row>
    <row r="16" spans="1:9" ht="15.6" x14ac:dyDescent="0.3">
      <c r="A16" s="14" t="s">
        <v>4</v>
      </c>
      <c r="B16" s="19">
        <f>D12</f>
        <v>5.8650000000000002</v>
      </c>
      <c r="C16" s="19">
        <f>C12</f>
        <v>5.1899999999999995</v>
      </c>
      <c r="D16" s="20">
        <f>A12</f>
        <v>5.0999999999999996</v>
      </c>
      <c r="E16" s="11" t="s">
        <v>3</v>
      </c>
      <c r="F16" s="17">
        <f>MDETERM(B15:D17)</f>
        <v>0.46785599999998012</v>
      </c>
      <c r="G16" s="10"/>
    </row>
    <row r="17" spans="1:14" ht="15.6" x14ac:dyDescent="0.3">
      <c r="A17" s="12"/>
      <c r="B17" s="19">
        <f>C12</f>
        <v>5.1899999999999995</v>
      </c>
      <c r="C17" s="19">
        <f>A12</f>
        <v>5.0999999999999996</v>
      </c>
      <c r="D17" s="20">
        <v>6</v>
      </c>
      <c r="E17" s="10"/>
      <c r="F17" s="10"/>
      <c r="G17" s="10"/>
      <c r="H17" s="4"/>
      <c r="I17" s="4"/>
    </row>
    <row r="18" spans="1:14" ht="15.6" x14ac:dyDescent="0.3">
      <c r="A18" s="10"/>
      <c r="B18" s="11"/>
      <c r="C18" s="11"/>
      <c r="D18" s="11"/>
      <c r="E18" s="10"/>
      <c r="F18" s="10"/>
      <c r="G18" s="10"/>
      <c r="H18" s="4"/>
      <c r="I18" s="4"/>
      <c r="N18" s="13"/>
    </row>
    <row r="19" spans="1:14" ht="15.6" x14ac:dyDescent="0.3">
      <c r="A19" s="4"/>
      <c r="B19" s="15"/>
      <c r="C19" s="15"/>
      <c r="D19" s="15"/>
      <c r="E19" s="4"/>
      <c r="F19" s="10"/>
      <c r="G19" s="4"/>
      <c r="H19" s="4"/>
      <c r="I19" s="4"/>
    </row>
    <row r="20" spans="1:14" ht="15.6" x14ac:dyDescent="0.3">
      <c r="A20" s="12"/>
      <c r="B20" s="19">
        <f>G12</f>
        <v>3.5127999999999999</v>
      </c>
      <c r="C20" s="19">
        <f>C15</f>
        <v>5.8650000000000002</v>
      </c>
      <c r="D20" s="20">
        <f>D15</f>
        <v>5.1899999999999995</v>
      </c>
      <c r="E20" s="4"/>
      <c r="F20" s="10"/>
      <c r="G20" s="4"/>
      <c r="H20" s="4"/>
      <c r="I20" s="4"/>
    </row>
    <row r="21" spans="1:14" ht="15.6" x14ac:dyDescent="0.3">
      <c r="A21" s="14" t="s">
        <v>5</v>
      </c>
      <c r="B21" s="19">
        <f>F12</f>
        <v>3.3319999999999999</v>
      </c>
      <c r="C21" s="19">
        <f t="shared" ref="C21:D22" si="6">C16</f>
        <v>5.1899999999999995</v>
      </c>
      <c r="D21" s="20">
        <f t="shared" si="6"/>
        <v>5.0999999999999996</v>
      </c>
      <c r="E21" s="15" t="s">
        <v>3</v>
      </c>
      <c r="F21" s="17">
        <f t="shared" ref="F21:F26" si="7">MDETERM(B20:D22)</f>
        <v>0.95315400000000017</v>
      </c>
      <c r="G21" s="4"/>
      <c r="H21" s="4" t="s">
        <v>13</v>
      </c>
      <c r="I21" s="16">
        <f>F21/$F$16</f>
        <v>2.0372807017544727</v>
      </c>
    </row>
    <row r="22" spans="1:14" ht="15.6" x14ac:dyDescent="0.3">
      <c r="A22" s="12"/>
      <c r="B22" s="19">
        <f>B12</f>
        <v>4.03</v>
      </c>
      <c r="C22" s="19">
        <f t="shared" si="6"/>
        <v>5.0999999999999996</v>
      </c>
      <c r="D22" s="20">
        <f t="shared" si="6"/>
        <v>6</v>
      </c>
      <c r="E22" s="4"/>
      <c r="F22" s="10"/>
      <c r="G22" s="4"/>
      <c r="H22" s="4"/>
      <c r="I22" s="16"/>
    </row>
    <row r="23" spans="1:14" ht="15.6" x14ac:dyDescent="0.3">
      <c r="A23" s="4"/>
      <c r="B23" s="15"/>
      <c r="C23" s="15"/>
      <c r="D23" s="15"/>
      <c r="E23" s="4"/>
      <c r="F23" s="10"/>
      <c r="G23" s="4"/>
      <c r="H23" s="4"/>
      <c r="I23" s="16"/>
    </row>
    <row r="24" spans="1:14" ht="15.6" x14ac:dyDescent="0.3">
      <c r="A24" s="4"/>
      <c r="B24" s="15"/>
      <c r="C24" s="15"/>
      <c r="D24" s="15"/>
      <c r="E24" s="4"/>
      <c r="F24" s="10"/>
      <c r="G24" s="4"/>
      <c r="H24" s="4"/>
      <c r="I24" s="16"/>
    </row>
    <row r="25" spans="1:14" ht="15.6" x14ac:dyDescent="0.3">
      <c r="A25" s="12"/>
      <c r="B25" s="19">
        <f>B15</f>
        <v>7.051499999999999</v>
      </c>
      <c r="C25" s="19">
        <f>B20</f>
        <v>3.5127999999999999</v>
      </c>
      <c r="D25" s="20">
        <f>D15</f>
        <v>5.1899999999999995</v>
      </c>
      <c r="E25" s="4"/>
      <c r="F25" s="10"/>
      <c r="G25" s="4"/>
      <c r="H25" s="4"/>
      <c r="I25" s="16"/>
    </row>
    <row r="26" spans="1:14" ht="15.6" x14ac:dyDescent="0.3">
      <c r="A26" s="14" t="s">
        <v>6</v>
      </c>
      <c r="B26" s="19">
        <f t="shared" ref="B26:B27" si="8">B16</f>
        <v>5.8650000000000002</v>
      </c>
      <c r="C26" s="19">
        <f t="shared" ref="C26:C27" si="9">B21</f>
        <v>3.3319999999999999</v>
      </c>
      <c r="D26" s="20">
        <f t="shared" ref="D26:D27" si="10">D16</f>
        <v>5.0999999999999996</v>
      </c>
      <c r="E26" s="15" t="s">
        <v>3</v>
      </c>
      <c r="F26" s="17">
        <f>MDETERM(B25:D27)</f>
        <v>-1.6715249999999995</v>
      </c>
      <c r="G26" s="4"/>
      <c r="H26" s="4" t="s">
        <v>14</v>
      </c>
      <c r="I26" s="16">
        <f t="shared" ref="I26:I31" si="11">F26/$F$16</f>
        <v>-3.5727339181288058</v>
      </c>
    </row>
    <row r="27" spans="1:14" ht="15.6" x14ac:dyDescent="0.3">
      <c r="A27" s="12"/>
      <c r="B27" s="19">
        <f t="shared" si="8"/>
        <v>5.1899999999999995</v>
      </c>
      <c r="C27" s="19">
        <f t="shared" si="9"/>
        <v>4.03</v>
      </c>
      <c r="D27" s="20">
        <f t="shared" si="10"/>
        <v>6</v>
      </c>
      <c r="E27" s="4"/>
      <c r="F27" s="18"/>
      <c r="G27" s="4"/>
      <c r="H27" s="4"/>
      <c r="I27" s="16"/>
    </row>
    <row r="28" spans="1:14" ht="15.6" x14ac:dyDescent="0.3">
      <c r="A28" s="4"/>
      <c r="B28" s="4"/>
      <c r="C28" s="4"/>
      <c r="D28" s="4"/>
      <c r="E28" s="4"/>
      <c r="F28" s="10"/>
      <c r="G28" s="4"/>
      <c r="H28" s="4"/>
      <c r="I28" s="16"/>
    </row>
    <row r="29" spans="1:14" ht="15.6" x14ac:dyDescent="0.3">
      <c r="A29" s="10"/>
      <c r="B29" s="4"/>
      <c r="C29" s="4"/>
      <c r="D29" s="4"/>
      <c r="E29" s="4"/>
      <c r="F29" s="4"/>
      <c r="G29" s="4"/>
      <c r="H29" s="4"/>
      <c r="I29" s="16"/>
    </row>
    <row r="30" spans="1:14" ht="15.6" x14ac:dyDescent="0.3">
      <c r="A30" s="12"/>
      <c r="B30" s="21">
        <f t="shared" ref="B30:C32" si="12">B15</f>
        <v>7.051499999999999</v>
      </c>
      <c r="C30" s="21">
        <f t="shared" si="12"/>
        <v>5.8650000000000002</v>
      </c>
      <c r="D30" s="20">
        <f>B20</f>
        <v>3.5127999999999999</v>
      </c>
      <c r="E30" s="4"/>
      <c r="F30" s="10"/>
      <c r="G30" s="4"/>
      <c r="H30" s="4"/>
      <c r="I30" s="16"/>
    </row>
    <row r="31" spans="1:14" ht="15.6" x14ac:dyDescent="0.3">
      <c r="A31" s="14" t="s">
        <v>7</v>
      </c>
      <c r="B31" s="21">
        <f t="shared" si="12"/>
        <v>5.8650000000000002</v>
      </c>
      <c r="C31" s="21">
        <f t="shared" si="12"/>
        <v>5.1899999999999995</v>
      </c>
      <c r="D31" s="20">
        <f>B21</f>
        <v>3.3319999999999999</v>
      </c>
      <c r="E31" s="15" t="s">
        <v>3</v>
      </c>
      <c r="F31" s="17">
        <f>MDETERM(B30:D32)</f>
        <v>0.9105613199999868</v>
      </c>
      <c r="G31" s="4"/>
      <c r="H31" s="4" t="s">
        <v>15</v>
      </c>
      <c r="I31" s="16">
        <f t="shared" si="11"/>
        <v>1.9462426900585339</v>
      </c>
    </row>
    <row r="32" spans="1:14" ht="15.6" x14ac:dyDescent="0.3">
      <c r="A32" s="12"/>
      <c r="B32" s="21">
        <f t="shared" si="12"/>
        <v>5.1899999999999995</v>
      </c>
      <c r="C32" s="21">
        <f t="shared" si="12"/>
        <v>5.0999999999999996</v>
      </c>
      <c r="D32" s="20">
        <f>B22</f>
        <v>4.03</v>
      </c>
      <c r="E32" s="4"/>
      <c r="F32" s="4"/>
      <c r="G32" s="4"/>
      <c r="H32" s="4"/>
      <c r="I32" s="4"/>
    </row>
    <row r="33" spans="1:9" ht="15.6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5.6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5.6" x14ac:dyDescent="0.3">
      <c r="A35" s="26" t="s">
        <v>16</v>
      </c>
      <c r="B35" s="26"/>
      <c r="C35" s="26"/>
      <c r="D35" s="26"/>
      <c r="E35" s="4"/>
      <c r="F35" s="4"/>
      <c r="G35" s="4"/>
      <c r="H35" s="4"/>
      <c r="I35" s="4"/>
    </row>
    <row r="36" spans="1:9" ht="15.6" x14ac:dyDescent="0.3">
      <c r="A36" s="26" t="s">
        <v>25</v>
      </c>
      <c r="B36" s="26"/>
      <c r="C36" s="26"/>
      <c r="D36" s="26"/>
      <c r="E36" s="4"/>
      <c r="F36" s="4"/>
      <c r="G36" s="4"/>
      <c r="H36" s="4"/>
      <c r="I36" s="4"/>
    </row>
    <row r="37" spans="1:9" ht="15.6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5.6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5.6" x14ac:dyDescent="0.3">
      <c r="A39" s="1" t="str">
        <f>A1</f>
        <v>x</v>
      </c>
      <c r="B39" s="1">
        <f t="shared" ref="B39:G39" si="13">B1</f>
        <v>0.3</v>
      </c>
      <c r="C39" s="1">
        <f t="shared" si="13"/>
        <v>0.5</v>
      </c>
      <c r="D39" s="1">
        <f t="shared" si="13"/>
        <v>0.8</v>
      </c>
      <c r="E39" s="1">
        <f t="shared" si="13"/>
        <v>0.9</v>
      </c>
      <c r="F39" s="1">
        <f t="shared" si="13"/>
        <v>1.2</v>
      </c>
      <c r="G39" s="1">
        <f t="shared" si="13"/>
        <v>1.4</v>
      </c>
      <c r="H39" s="4"/>
      <c r="I39" s="4"/>
    </row>
    <row r="40" spans="1:9" x14ac:dyDescent="0.3">
      <c r="A40" s="22" t="s">
        <v>1</v>
      </c>
      <c r="B40" s="23">
        <f>$I$21 * B39 * B39 + $I$26 * B39 + $I$31</f>
        <v>1.0577777777777948</v>
      </c>
      <c r="C40" s="23">
        <f t="shared" ref="C40:G40" si="14">$I$21 * C39 * C39 + $I$26 * C39 + $I$31</f>
        <v>0.66919590643274929</v>
      </c>
      <c r="D40" s="23">
        <f t="shared" si="14"/>
        <v>0.39191520467835184</v>
      </c>
      <c r="E40" s="23">
        <f t="shared" si="14"/>
        <v>0.3809795321637317</v>
      </c>
      <c r="F40" s="23">
        <f t="shared" si="14"/>
        <v>0.5926461988304077</v>
      </c>
      <c r="G40" s="23">
        <f t="shared" si="14"/>
        <v>0.93748538011697247</v>
      </c>
    </row>
    <row r="42" spans="1:9" x14ac:dyDescent="0.3">
      <c r="A42" s="24"/>
    </row>
    <row r="43" spans="1:9" x14ac:dyDescent="0.3">
      <c r="A43" s="22" t="s">
        <v>17</v>
      </c>
      <c r="B43" s="22" t="s">
        <v>18</v>
      </c>
      <c r="C43" s="22" t="s">
        <v>19</v>
      </c>
      <c r="D43" s="22" t="s">
        <v>20</v>
      </c>
      <c r="E43" s="22" t="s">
        <v>21</v>
      </c>
      <c r="F43" s="22" t="s">
        <v>22</v>
      </c>
      <c r="H43" s="27" t="s">
        <v>24</v>
      </c>
      <c r="I43" s="27"/>
    </row>
    <row r="44" spans="1:9" x14ac:dyDescent="0.3">
      <c r="A44" s="23">
        <f t="shared" ref="A44:F44" si="15">B40-B2</f>
        <v>-4.2222222222205286E-2</v>
      </c>
      <c r="B44" s="23">
        <f t="shared" si="15"/>
        <v>6.919590643274931E-2</v>
      </c>
      <c r="C44" s="23">
        <f t="shared" si="15"/>
        <v>-8.084795321648186E-3</v>
      </c>
      <c r="D44" s="23">
        <f t="shared" si="15"/>
        <v>9.7953216373170005E-4</v>
      </c>
      <c r="E44" s="23">
        <f t="shared" si="15"/>
        <v>-5.7353801169592322E-2</v>
      </c>
      <c r="F44" s="23">
        <f t="shared" si="15"/>
        <v>3.7485380116972444E-2</v>
      </c>
    </row>
    <row r="46" spans="1:9" x14ac:dyDescent="0.3">
      <c r="A46" s="24" t="s">
        <v>23</v>
      </c>
      <c r="B46" s="25">
        <f>SQRT(A44^2 +B44^2 +C44^2 + D44^2 + E44^2 + F44^2)</f>
        <v>0.1064505760726491</v>
      </c>
    </row>
  </sheetData>
  <mergeCells count="3">
    <mergeCell ref="A36:D36"/>
    <mergeCell ref="A35:D35"/>
    <mergeCell ref="H43:I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2024-04-22T15:53:08Z</cp:lastPrinted>
  <dcterms:created xsi:type="dcterms:W3CDTF">2024-04-21T19:01:07Z</dcterms:created>
  <dcterms:modified xsi:type="dcterms:W3CDTF">2024-04-22T16:46:02Z</dcterms:modified>
</cp:coreProperties>
</file>